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>
    <definedName hidden="1" localSheetId="0" name="_xlnm._FilterDatabase">Sheet1!$A$2:$C$24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<sst xmlns="http://schemas.openxmlformats.org/spreadsheetml/2006/main" count="193" uniqueCount="55">
  <si>
    <t>Product Name</t>
  </si>
  <si>
    <t>Price</t>
  </si>
  <si>
    <t>Stock Satus</t>
  </si>
  <si>
    <t>T-shirt</t>
  </si>
  <si>
    <t>Available</t>
  </si>
  <si>
    <t>oil</t>
  </si>
  <si>
    <t>Pant</t>
  </si>
  <si>
    <t>out of stock</t>
  </si>
  <si>
    <t>bra</t>
  </si>
  <si>
    <t>lower</t>
  </si>
  <si>
    <t>Mirror</t>
  </si>
  <si>
    <t>half pant</t>
  </si>
  <si>
    <t>sabun</t>
  </si>
  <si>
    <t>underwear</t>
  </si>
  <si>
    <t>nail palis</t>
  </si>
  <si>
    <t>shirt</t>
  </si>
  <si>
    <t>cap</t>
  </si>
  <si>
    <t>xlookup Formula</t>
  </si>
  <si>
    <t>jacket</t>
  </si>
  <si>
    <t>Formal pant</t>
  </si>
  <si>
    <t>shokes</t>
  </si>
  <si>
    <t>Lipstick</t>
  </si>
  <si>
    <t>cream</t>
  </si>
  <si>
    <t>facewash</t>
  </si>
  <si>
    <t>perfume</t>
  </si>
  <si>
    <t>sampu</t>
  </si>
  <si>
    <t>powder</t>
  </si>
  <si>
    <t>Penty</t>
  </si>
  <si>
    <t>Total Income</t>
  </si>
  <si>
    <t>most expensive</t>
  </si>
  <si>
    <t>Most cheap</t>
  </si>
  <si>
    <t>Available stock</t>
  </si>
  <si>
    <t>Out of stock</t>
  </si>
  <si>
    <t>Average</t>
  </si>
  <si>
    <t>Total value of out stock</t>
  </si>
  <si>
    <t>Total value of Available</t>
  </si>
  <si>
    <t>Total item in the shop</t>
  </si>
  <si>
    <t>sort true</t>
  </si>
  <si>
    <t>sort false</t>
  </si>
  <si>
    <t>SUM of Price</t>
  </si>
  <si>
    <t>$10.00 Total</t>
  </si>
  <si>
    <t>$40.00 Total</t>
  </si>
  <si>
    <t>$50.00 Total</t>
  </si>
  <si>
    <t>$60.00 Total</t>
  </si>
  <si>
    <t>$70.00 Total</t>
  </si>
  <si>
    <t>$90.00 Total</t>
  </si>
  <si>
    <t>$100.00 Total</t>
  </si>
  <si>
    <t>$120.00 Total</t>
  </si>
  <si>
    <t>$150.00 Total</t>
  </si>
  <si>
    <t>$180.00 Total</t>
  </si>
  <si>
    <t>$200.00 Total</t>
  </si>
  <si>
    <t>$400.00 Total</t>
  </si>
  <si>
    <t>$600.00 Total</t>
  </si>
  <si>
    <t>$900.00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</si>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</sst>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0">
    <font>
      <sz val="10.0"/>
      <color rgb="FF000000"/>
      <name val="Arial"/>
      <scheme val="minor"/>
    </font>
    <font>
      <b/>
      <i/>
      <u/>
      <sz val="14.0"/>
      <color rgb="FFFF0000"/>
      <name val="Comfortaa"/>
    </font>
    <font>
      <b/>
      <i/>
      <u/>
      <sz val="14.0"/>
      <color rgb="FF0B5394"/>
      <name val="Comfortaa"/>
    </font>
    <font>
      <b/>
      <i/>
      <u/>
      <sz val="14.0"/>
      <color theme="1"/>
      <name val="Comfortaa"/>
    </font>
    <font>
      <b/>
      <i/>
      <u/>
      <sz val="14.0"/>
      <color theme="1"/>
      <name val="Comic Sans MS"/>
    </font>
    <font>
      <color theme="1"/>
      <name val="Arial"/>
      <scheme val="minor"/>
    </font>
    <font>
      <b/>
      <i/>
      <u/>
      <sz val="14.0"/>
      <color rgb="FF0000FF"/>
      <name val="Comfortaa"/>
    </font>
    <font>
      <b/>
      <sz val="14.0"/>
      <color theme="1"/>
      <name val="Comfortaa"/>
    </font>
    <font>
      <sz val="14.0"/>
      <color theme="1"/>
      <name val="Arial"/>
      <scheme val="minor"/>
    </font>
    <font>
      <b/>
      <i/>
      <u/>
      <sz val="14.0"/>
      <color rgb="FF0000FF"/>
      <name val="Comfortaa"/>
    </font>
    <font>
      <b/>
      <i/>
      <u/>
      <sz val="14.0"/>
      <color rgb="FF0000FF"/>
      <name val="Comfortaa"/>
    </font>
    <font>
      <b/>
      <i/>
      <u/>
      <sz val="14.0"/>
      <color rgb="FF0000FF"/>
      <name val="Comfortaa"/>
    </font>
    <font>
      <b/>
      <i/>
      <u/>
      <sz val="14.0"/>
      <color rgb="FF0000FF"/>
      <name val="Comfortaa"/>
    </font>
    <font>
      <b/>
      <i/>
      <u/>
      <sz val="12.0"/>
      <color rgb="FFFF00FF"/>
      <name val="Comic Sans MS"/>
    </font>
    <font>
      <b/>
      <i/>
      <u/>
      <sz val="12.0"/>
      <color rgb="FFCC0000"/>
      <name val="Georgia"/>
    </font>
    <font>
      <b/>
      <i/>
      <u/>
      <sz val="12.0"/>
      <color rgb="FF0000FF"/>
      <name val="Courier New"/>
    </font>
    <font>
      <b/>
      <i/>
      <u/>
      <sz val="12.0"/>
      <color rgb="FF00FF00"/>
      <name val="Georgia"/>
    </font>
    <font>
      <b/>
      <i/>
      <u/>
      <sz val="12.0"/>
      <color theme="1"/>
      <name val="Comic Sans MS"/>
    </font>
    <font>
      <b/>
      <i/>
      <u/>
      <sz val="14.0"/>
      <color rgb="FF00FFFF"/>
      <name val="Montserrat"/>
    </font>
    <font>
      <b/>
      <u/>
      <color theme="1"/>
      <name val="EB Garamond"/>
    </font>
    <font>
      <b/>
      <sz val="11.0"/>
      <color rgb="FFCC0000"/>
      <name val="Arial"/>
      <scheme val="minor"/>
    </font>
    <font>
      <color rgb="FFFF9900"/>
      <name val="Arial"/>
      <scheme val="minor"/>
    </font>
    <font>
      <sz val="14.0"/>
      <color rgb="FF5B95F9"/>
      <name val="Arial"/>
      <scheme val="minor"/>
    </font>
    <font>
      <b/>
      <i/>
      <u/>
      <sz val="18.0"/>
      <color theme="1"/>
      <name val="Lexend"/>
    </font>
    <font>
      <sz val="14.0"/>
      <color theme="1"/>
      <name val="Impact"/>
    </font>
    <font>
      <b/>
      <i/>
      <u/>
      <sz val="14.0"/>
      <color rgb="FF0000FF"/>
      <name val="Inconsolata"/>
    </font>
    <font>
      <sz val="14.0"/>
      <color rgb="FF0000FF"/>
      <name val="Arial"/>
      <scheme val="minor"/>
    </font>
    <font>
      <b/>
      <i/>
      <sz val="24.0"/>
      <color rgb="FF00FF00"/>
      <name val="Arial"/>
      <scheme val="minor"/>
    </font>
    <font>
      <sz val="18.0"/>
      <color rgb="FF00FF00"/>
      <name val="Arial"/>
      <scheme val="minor"/>
    </font>
    <font>
      <sz val="18.0"/>
      <color rgb="FF9900FF"/>
      <name val="Oswald"/>
    </font>
  </fonts>
  <fills count="17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CE8B2"/>
        <bgColor rgb="FFFCE8B2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980000"/>
        <bgColor rgb="FF980000"/>
      </patternFill>
    </fill>
    <fill>
      <patternFill patternType="solid">
        <fgColor rgb="FFFF00FF"/>
        <bgColor rgb="FFFF00FF"/>
      </patternFill>
    </fill>
    <fill>
      <patternFill patternType="solid">
        <fgColor rgb="FF741B47"/>
        <bgColor rgb="FF741B47"/>
      </patternFill>
    </fill>
    <fill>
      <patternFill patternType="solid">
        <fgColor rgb="FFE69138"/>
        <bgColor rgb="FFE69138"/>
      </patternFill>
    </fill>
    <fill>
      <patternFill patternType="solid">
        <fgColor rgb="FF4A86E8"/>
        <bgColor rgb="FF4A86E8"/>
      </patternFill>
    </fill>
  </fills>
  <borders count="24">
    <border/>
    <border>
      <right style="thick">
        <color rgb="FFFF0000"/>
      </right>
      <bottom style="thick">
        <color rgb="FFFF0000"/>
      </bottom>
    </border>
    <border>
      <left style="thick">
        <color rgb="FFFF0000"/>
      </left>
      <right style="thick">
        <color rgb="FFFF0000"/>
      </right>
      <bottom style="thick">
        <color rgb="FFFF0000"/>
      </bottom>
    </border>
    <border>
      <left style="thick">
        <color rgb="FFFF0000"/>
      </left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left style="thick">
        <color rgb="FFFF0000"/>
      </left>
      <top style="thick">
        <color rgb="FFFF0000"/>
      </top>
    </border>
    <border>
      <left style="thick">
        <color rgb="FF00FFFF"/>
      </left>
      <right style="thick">
        <color rgb="FF00FFFF"/>
      </right>
      <top style="thick">
        <color rgb="FF00FFFF"/>
      </top>
      <bottom style="thick">
        <color rgb="FF00FFFF"/>
      </bottom>
    </border>
    <border>
      <right style="double">
        <color rgb="FF741B47"/>
      </right>
      <top style="double">
        <color rgb="FF741B47"/>
      </top>
      <bottom style="double">
        <color rgb="FF741B47"/>
      </bottom>
    </border>
    <border>
      <right style="thick">
        <color rgb="FF741B47"/>
      </right>
      <top style="thick">
        <color rgb="FF741B47"/>
      </top>
      <bottom style="thick">
        <color rgb="FF741B47"/>
      </bottom>
    </border>
    <border>
      <left style="thick">
        <color rgb="FF741B47"/>
      </left>
      <right style="thick">
        <color rgb="FF741B47"/>
      </right>
      <top style="thick">
        <color rgb="FF741B47"/>
      </top>
      <bottom style="thick">
        <color rgb="FF741B47"/>
      </bottom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2" numFmtId="164" xfId="0" applyAlignment="1" applyBorder="1" applyFont="1" applyNumberFormat="1">
      <alignment horizontal="center" readingOrder="0" shrinkToFit="0" textRotation="0" wrapText="0"/>
    </xf>
    <xf borderId="2" fillId="2" fontId="3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4" fillId="3" fontId="6" numFmtId="0" xfId="0" applyAlignment="1" applyBorder="1" applyFill="1" applyFont="1">
      <alignment horizontal="center" readingOrder="0" shrinkToFit="0" wrapText="0"/>
    </xf>
    <xf borderId="5" fillId="4" fontId="7" numFmtId="164" xfId="0" applyAlignment="1" applyBorder="1" applyFill="1" applyFont="1" applyNumberFormat="1">
      <alignment horizontal="center" readingOrder="0" shrinkToFit="0" textRotation="0" wrapText="0"/>
    </xf>
    <xf borderId="5" fillId="5" fontId="7" numFmtId="0" xfId="0" applyAlignment="1" applyBorder="1" applyFill="1" applyFont="1">
      <alignment horizontal="center" readingOrder="0" shrinkToFit="0" wrapText="0"/>
    </xf>
    <xf borderId="6" fillId="2" fontId="8" numFmtId="0" xfId="0" applyBorder="1" applyFont="1"/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5" numFmtId="0" xfId="0" applyFont="1"/>
    <xf borderId="7" fillId="3" fontId="9" numFmtId="0" xfId="0" applyAlignment="1" applyBorder="1" applyFont="1">
      <alignment horizontal="center" readingOrder="0" shrinkToFit="0" wrapText="0"/>
    </xf>
    <xf borderId="8" fillId="4" fontId="7" numFmtId="164" xfId="0" applyAlignment="1" applyBorder="1" applyFont="1" applyNumberFormat="1">
      <alignment horizontal="center" readingOrder="0" shrinkToFit="0" textRotation="0" wrapText="0"/>
    </xf>
    <xf borderId="8" fillId="5" fontId="7" numFmtId="0" xfId="0" applyAlignment="1" applyBorder="1" applyFont="1">
      <alignment horizontal="center" readingOrder="0" shrinkToFit="0" wrapText="0"/>
    </xf>
    <xf borderId="9" fillId="2" fontId="8" numFmtId="0" xfId="0" applyBorder="1" applyFont="1"/>
    <xf borderId="0" fillId="6" fontId="10" numFmtId="0" xfId="0" applyAlignment="1" applyFill="1" applyFont="1">
      <alignment horizontal="center" readingOrder="0" shrinkToFit="0" wrapText="0"/>
    </xf>
    <xf borderId="0" fillId="6" fontId="7" numFmtId="0" xfId="0" applyAlignment="1" applyFont="1">
      <alignment horizontal="center" readingOrder="0" shrinkToFit="0" wrapText="0"/>
    </xf>
    <xf borderId="0" fillId="7" fontId="11" numFmtId="0" xfId="0" applyAlignment="1" applyFill="1" applyFont="1">
      <alignment horizontal="center" readingOrder="0" shrinkToFit="0" wrapText="0"/>
    </xf>
    <xf borderId="0" fillId="7" fontId="7" numFmtId="0" xfId="0" applyAlignment="1" applyFont="1">
      <alignment horizontal="center" readingOrder="0" shrinkToFit="0" wrapText="0"/>
    </xf>
    <xf borderId="0" fillId="8" fontId="12" numFmtId="0" xfId="0" applyAlignment="1" applyFill="1" applyFont="1">
      <alignment horizontal="center" readingOrder="0" shrinkToFit="0" wrapText="0"/>
    </xf>
    <xf borderId="0" fillId="8" fontId="7" numFmtId="0" xfId="0" applyAlignment="1" applyFont="1">
      <alignment horizontal="center" readingOrder="0" shrinkToFit="0" wrapText="0"/>
    </xf>
    <xf borderId="10" fillId="9" fontId="13" numFmtId="0" xfId="0" applyAlignment="1" applyBorder="1" applyFill="1" applyFont="1">
      <alignment readingOrder="0" vertical="center"/>
    </xf>
    <xf borderId="10" fillId="4" fontId="14" numFmtId="0" xfId="0" applyAlignment="1" applyBorder="1" applyFont="1">
      <alignment horizontal="left" readingOrder="0" vertical="top"/>
    </xf>
    <xf borderId="11" fillId="5" fontId="15" numFmtId="0" xfId="0" applyAlignment="1" applyBorder="1" applyFont="1">
      <alignment readingOrder="0"/>
    </xf>
    <xf borderId="0" fillId="3" fontId="8" numFmtId="164" xfId="0" applyAlignment="1" applyFont="1" applyNumberFormat="1">
      <alignment horizontal="center"/>
    </xf>
    <xf borderId="0" fillId="10" fontId="8" numFmtId="164" xfId="0" applyFill="1" applyFont="1" applyNumberFormat="1"/>
    <xf borderId="0" fillId="11" fontId="8" numFmtId="164" xfId="0" applyFill="1" applyFont="1" applyNumberFormat="1"/>
    <xf borderId="10" fillId="5" fontId="16" numFmtId="0" xfId="0" applyAlignment="1" applyBorder="1" applyFont="1">
      <alignment horizontal="left" readingOrder="0" vertical="top"/>
    </xf>
    <xf borderId="12" fillId="3" fontId="17" numFmtId="0" xfId="0" applyAlignment="1" applyBorder="1" applyFont="1">
      <alignment horizontal="center" readingOrder="0" vertical="center"/>
    </xf>
    <xf borderId="13" fillId="12" fontId="18" numFmtId="0" xfId="0" applyAlignment="1" applyBorder="1" applyFill="1" applyFont="1">
      <alignment horizontal="center" readingOrder="0" shrinkToFit="0" vertical="bottom" wrapText="0"/>
    </xf>
    <xf borderId="0" fillId="13" fontId="8" numFmtId="0" xfId="0" applyFill="1" applyFont="1"/>
    <xf borderId="0" fillId="5" fontId="8" numFmtId="0" xfId="0" applyFont="1"/>
    <xf borderId="0" fillId="9" fontId="8" numFmtId="2" xfId="0" applyAlignment="1" applyFont="1" applyNumberFormat="1">
      <alignment horizontal="right" shrinkToFit="0" wrapText="0"/>
    </xf>
    <xf borderId="14" fillId="4" fontId="19" numFmtId="0" xfId="0" applyAlignment="1" applyBorder="1" applyFont="1">
      <alignment horizontal="center" readingOrder="0" vertical="top"/>
    </xf>
    <xf borderId="14" fillId="4" fontId="20" numFmtId="0" xfId="0" applyAlignment="1" applyBorder="1" applyFont="1">
      <alignment readingOrder="0"/>
    </xf>
    <xf borderId="14" fillId="14" fontId="21" numFmtId="0" xfId="0" applyAlignment="1" applyBorder="1" applyFill="1" applyFont="1">
      <alignment readingOrder="0"/>
    </xf>
    <xf borderId="0" fillId="5" fontId="22" numFmtId="0" xfId="0" applyFont="1"/>
    <xf borderId="0" fillId="15" fontId="23" numFmtId="0" xfId="0" applyAlignment="1" applyFill="1" applyFont="1">
      <alignment horizontal="center" readingOrder="0" vertical="center"/>
    </xf>
    <xf borderId="0" fillId="3" fontId="24" numFmtId="0" xfId="0" applyFont="1"/>
    <xf borderId="0" fillId="3" fontId="24" numFmtId="164" xfId="0" applyFont="1" applyNumberFormat="1"/>
    <xf borderId="0" fillId="5" fontId="25" numFmtId="0" xfId="0" applyAlignment="1" applyFont="1">
      <alignment readingOrder="0"/>
    </xf>
    <xf borderId="0" fillId="4" fontId="26" numFmtId="0" xfId="0" applyFont="1"/>
    <xf borderId="0" fillId="4" fontId="26" numFmtId="164" xfId="0" applyFont="1" applyNumberFormat="1"/>
    <xf borderId="15" fillId="16" fontId="27" numFmtId="0" xfId="0" applyAlignment="1" applyBorder="1" applyFill="1" applyFont="1">
      <alignment horizontal="center" readingOrder="0" vertical="center"/>
    </xf>
    <xf borderId="15" fillId="16" fontId="28" numFmtId="0" xfId="0" applyAlignment="1" applyBorder="1" applyFont="1">
      <alignment horizontal="center" vertical="center"/>
    </xf>
    <xf borderId="16" fillId="5" fontId="29" numFmtId="0" xfId="0" applyAlignment="1" applyBorder="1" applyFont="1">
      <alignment readingOrder="0"/>
    </xf>
    <xf borderId="17" fillId="5" fontId="29" numFmtId="0" xfId="0" applyBorder="1" applyFont="1"/>
    <xf borderId="18" fillId="5" fontId="29" numFmtId="0" xfId="0" applyBorder="1" applyFont="1"/>
    <xf borderId="19" fillId="16" fontId="28" numFmtId="0" xfId="0" applyAlignment="1" applyBorder="1" applyFont="1">
      <alignment horizontal="center" vertical="center"/>
    </xf>
    <xf borderId="19" fillId="16" fontId="28" numFmtId="164" xfId="0" applyAlignment="1" applyBorder="1" applyFont="1" applyNumberFormat="1">
      <alignment horizontal="center" vertical="center"/>
    </xf>
    <xf borderId="20" fillId="5" fontId="29" numFmtId="0" xfId="0" applyBorder="1" applyFont="1"/>
    <xf borderId="21" fillId="5" fontId="29" numFmtId="164" xfId="0" applyBorder="1" applyFont="1" applyNumberFormat="1"/>
    <xf borderId="22" fillId="5" fontId="29" numFmtId="0" xfId="0" applyAlignment="1" applyBorder="1" applyFont="1">
      <alignment horizontal="center"/>
    </xf>
    <xf borderId="23" fillId="16" fontId="28" numFmtId="0" xfId="0" applyAlignment="1" applyBorder="1" applyFont="1">
      <alignment horizontal="center" vertical="center"/>
    </xf>
    <xf borderId="23" fillId="16" fontId="2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Sheet1!$A$2:$A$24</c:f>
            </c:strRef>
          </c:cat>
          <c:val>
            <c:numRef>
              <c:f>Sheet1!$B$2:$B$24</c:f>
              <c:numCache/>
            </c:numRef>
          </c:val>
        </c:ser>
        <c:ser>
          <c:idx val="1"/>
          <c:order val="1"/>
          <c:cat>
            <c:strRef>
              <c:f>Sheet1!$A$2:$A$24</c:f>
            </c:strRef>
          </c:cat>
          <c:val>
            <c:numRef>
              <c:f>Sheet1!$C$2:$C$24</c:f>
              <c:numCache/>
            </c:numRef>
          </c:val>
        </c:ser>
        <c:axId val="1372524636"/>
        <c:axId val="1498615224"/>
      </c:barChart>
      <c:catAx>
        <c:axId val="1372524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615224"/>
      </c:catAx>
      <c:valAx>
        <c:axId val="1498615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524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37</xdr:row>
      <xdr:rowOff>28575</xdr:rowOff>
    </xdr:from>
    <xdr:ext cx="4057650" cy="2505075"/>
    <xdr:pic>
      <xdr:nvPicPr>
        <xdr:cNvPr id="1405615629" name="Chart1" title="Details of stock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1343025</xdr:colOff>
      <xdr:row>25</xdr:row>
      <xdr:rowOff>66675</xdr:rowOff>
    </xdr:from>
    <xdr:ext cx="3638550" cy="2247900"/>
    <xdr:pic>
      <xdr:nvPicPr>
        <xdr:cNvPr id="586049681" name="Chart2" title="Product name deteil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50</xdr:row>
      <xdr:rowOff>190500</xdr:rowOff>
    </xdr:from>
    <xdr:ext cx="5715000" cy="3371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3" sheet="Sheet1"/>
  </cacheSource>
  <cacheFields>
    <cacheField name="Product Name" numFmtId="0">
      <sharedItems>
        <s v="T-shirt"/>
        <s v="Pant"/>
        <s v="lower"/>
        <s v="half pant"/>
        <s v="underwear"/>
        <s v="shirt"/>
        <s v="cap"/>
        <s v="jacket"/>
        <s v="Formal pant"/>
        <s v="shokes"/>
        <s v="Lipstick"/>
        <s v="nail palis"/>
        <s v="cream"/>
        <s v="facewash"/>
        <s v="oil"/>
        <s v="perfume"/>
        <s v="sampu"/>
        <s v="sabun"/>
        <s v="powder"/>
        <s v="Mirror"/>
        <s v="bra"/>
        <s v="Penty"/>
      </sharedItems>
    </cacheField>
    <cacheField name="Price" numFmtId="164">
      <sharedItems containsSemiMixedTypes="0" containsString="0" containsNumber="1" containsInteger="1">
        <n v="200.0"/>
        <n v="400.0"/>
        <n v="150.0"/>
        <n v="90.0"/>
        <n v="600.0"/>
        <n v="100.0"/>
        <n v="900.0"/>
        <n v="50.0"/>
        <n v="40.0"/>
        <n v="10.0"/>
        <n v="180.0"/>
        <n v="120.0"/>
        <n v="60.0"/>
        <n v="70.0"/>
      </sharedItems>
    </cacheField>
    <cacheField name="Stock Satus" numFmtId="0">
      <sharedItems>
        <s v="Available"/>
        <s v="out of stoc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38" firstHeaderRow="0" firstDataRow="2" firstDataCol="0"/>
  <pivotFields>
    <pivotField name="Product Name" axis="axisRow" compact="0" outline="0" multipleItemSelectionAllowed="1" showAll="0" sortType="ascending">
      <items>
        <item x="20"/>
        <item x="6"/>
        <item x="12"/>
        <item x="13"/>
        <item x="8"/>
        <item x="3"/>
        <item x="7"/>
        <item x="10"/>
        <item x="2"/>
        <item x="19"/>
        <item x="11"/>
        <item x="14"/>
        <item x="1"/>
        <item x="21"/>
        <item x="15"/>
        <item x="18"/>
        <item x="17"/>
        <item x="16"/>
        <item x="5"/>
        <item x="9"/>
        <item x="0"/>
        <item x="4"/>
        <item t="default"/>
      </items>
    </pivotField>
    <pivotField name="Price" axis="axisRow" dataField="1" compact="0" numFmtId="164" outline="0" multipleItemSelectionAllowed="1" showAll="0" sortType="ascending">
      <items>
        <item x="9"/>
        <item x="8"/>
        <item x="7"/>
        <item x="12"/>
        <item x="13"/>
        <item x="3"/>
        <item x="5"/>
        <item x="11"/>
        <item x="2"/>
        <item x="10"/>
        <item x="0"/>
        <item x="1"/>
        <item x="4"/>
        <item x="6"/>
        <item t="default"/>
      </items>
    </pivotField>
    <pivotField name="Stock Satus" compact="0" outline="0" multipleItemSelectionAllowed="1" showAll="0">
      <items>
        <item x="0"/>
        <item x="1"/>
        <item t="default"/>
      </items>
    </pivotField>
  </pivotFields>
  <rowFields>
    <field x="1"/>
    <field x="0"/>
  </rowFields>
  <dataFields>
    <dataField name="SUM of Price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0"/>
    <col customWidth="1" min="3" max="3" width="17.75"/>
    <col customWidth="1" min="6" max="6" width="21.5"/>
    <col customWidth="1" min="7" max="7" width="13.88"/>
  </cols>
  <sheetData>
    <row r="1">
      <c r="A1" s="1" t="s">
        <v>0</v>
      </c>
      <c r="B1" s="2" t="s">
        <v>1</v>
      </c>
      <c r="C1" s="3" t="s">
        <v>2</v>
      </c>
      <c r="D1" s="4"/>
      <c r="E1" s="5"/>
    </row>
    <row r="2">
      <c r="A2" s="6" t="s">
        <v>3</v>
      </c>
      <c r="B2" s="7">
        <v>200.0</v>
      </c>
      <c r="C2" s="8" t="s">
        <v>4</v>
      </c>
      <c r="D2" s="9"/>
      <c r="E2" s="10" t="s">
        <v>5</v>
      </c>
      <c r="F2" s="11">
        <f t="shared" ref="F2:F6" si="1">VLOOKUP(E2,$A$2:$C$23,2,false)</f>
        <v>200</v>
      </c>
    </row>
    <row r="3">
      <c r="A3" s="6" t="s">
        <v>6</v>
      </c>
      <c r="B3" s="7">
        <v>400.0</v>
      </c>
      <c r="C3" s="8" t="s">
        <v>7</v>
      </c>
      <c r="D3" s="9"/>
      <c r="E3" s="10" t="s">
        <v>8</v>
      </c>
      <c r="F3" s="11">
        <f t="shared" si="1"/>
        <v>200</v>
      </c>
    </row>
    <row r="4">
      <c r="A4" s="6" t="s">
        <v>9</v>
      </c>
      <c r="B4" s="7">
        <v>200.0</v>
      </c>
      <c r="C4" s="8" t="s">
        <v>4</v>
      </c>
      <c r="D4" s="9"/>
      <c r="E4" s="10" t="s">
        <v>10</v>
      </c>
      <c r="F4" s="11">
        <f t="shared" si="1"/>
        <v>40</v>
      </c>
    </row>
    <row r="5">
      <c r="A5" s="6" t="s">
        <v>11</v>
      </c>
      <c r="B5" s="7">
        <v>150.0</v>
      </c>
      <c r="C5" s="8" t="s">
        <v>4</v>
      </c>
      <c r="D5" s="9"/>
      <c r="E5" s="10" t="s">
        <v>12</v>
      </c>
      <c r="F5" s="11">
        <f t="shared" si="1"/>
        <v>40</v>
      </c>
    </row>
    <row r="6">
      <c r="A6" s="6" t="s">
        <v>13</v>
      </c>
      <c r="B6" s="7">
        <v>90.0</v>
      </c>
      <c r="C6" s="8" t="s">
        <v>4</v>
      </c>
      <c r="D6" s="9"/>
      <c r="E6" s="10" t="s">
        <v>14</v>
      </c>
      <c r="F6" s="11">
        <f t="shared" si="1"/>
        <v>10</v>
      </c>
    </row>
    <row r="7">
      <c r="A7" s="6" t="s">
        <v>15</v>
      </c>
      <c r="B7" s="7">
        <v>600.0</v>
      </c>
      <c r="C7" s="8" t="s">
        <v>4</v>
      </c>
      <c r="D7" s="9"/>
    </row>
    <row r="8">
      <c r="A8" s="6" t="s">
        <v>16</v>
      </c>
      <c r="B8" s="7">
        <v>100.0</v>
      </c>
      <c r="C8" s="8" t="s">
        <v>4</v>
      </c>
      <c r="D8" s="9"/>
      <c r="E8" s="10" t="s">
        <v>17</v>
      </c>
    </row>
    <row r="9">
      <c r="A9" s="6" t="s">
        <v>18</v>
      </c>
      <c r="B9" s="7">
        <v>900.0</v>
      </c>
      <c r="C9" s="8" t="s">
        <v>4</v>
      </c>
      <c r="D9" s="9"/>
      <c r="E9" s="11">
        <f t="array" ref="E9:F9">XLOOKUP("penty",A2:A23,B2:C23)</f>
        <v>200</v>
      </c>
      <c r="F9" s="12" t="s">
        <v>7</v>
      </c>
    </row>
    <row r="10">
      <c r="A10" s="6" t="s">
        <v>19</v>
      </c>
      <c r="B10" s="7">
        <v>600.0</v>
      </c>
      <c r="C10" s="8" t="s">
        <v>4</v>
      </c>
      <c r="D10" s="9"/>
      <c r="E10" s="12" t="str">
        <f>VLOOKUP("oil", A2:C23,3,false) </f>
        <v>Available</v>
      </c>
    </row>
    <row r="11">
      <c r="A11" s="6" t="s">
        <v>20</v>
      </c>
      <c r="B11" s="7">
        <v>50.0</v>
      </c>
      <c r="C11" s="8" t="s">
        <v>4</v>
      </c>
      <c r="D11" s="9"/>
    </row>
    <row r="12">
      <c r="A12" s="6" t="s">
        <v>21</v>
      </c>
      <c r="B12" s="7">
        <v>40.0</v>
      </c>
      <c r="C12" s="8" t="s">
        <v>4</v>
      </c>
      <c r="D12" s="9"/>
    </row>
    <row r="13">
      <c r="A13" s="6" t="s">
        <v>14</v>
      </c>
      <c r="B13" s="7">
        <v>10.0</v>
      </c>
      <c r="C13" s="8" t="s">
        <v>4</v>
      </c>
      <c r="D13" s="9"/>
    </row>
    <row r="14">
      <c r="A14" s="6" t="s">
        <v>22</v>
      </c>
      <c r="B14" s="7">
        <v>180.0</v>
      </c>
      <c r="C14" s="8" t="s">
        <v>4</v>
      </c>
      <c r="D14" s="9"/>
    </row>
    <row r="15">
      <c r="A15" s="6" t="s">
        <v>23</v>
      </c>
      <c r="B15" s="7">
        <v>120.0</v>
      </c>
      <c r="C15" s="8" t="s">
        <v>4</v>
      </c>
      <c r="D15" s="9"/>
    </row>
    <row r="16">
      <c r="A16" s="6" t="s">
        <v>5</v>
      </c>
      <c r="B16" s="7">
        <v>200.0</v>
      </c>
      <c r="C16" s="8" t="s">
        <v>4</v>
      </c>
      <c r="D16" s="9"/>
    </row>
    <row r="17">
      <c r="A17" s="6" t="s">
        <v>24</v>
      </c>
      <c r="B17" s="7">
        <v>200.0</v>
      </c>
      <c r="C17" s="8" t="s">
        <v>7</v>
      </c>
      <c r="D17" s="9"/>
    </row>
    <row r="18">
      <c r="A18" s="6" t="s">
        <v>25</v>
      </c>
      <c r="B18" s="7">
        <v>60.0</v>
      </c>
      <c r="C18" s="8" t="s">
        <v>7</v>
      </c>
      <c r="D18" s="9"/>
    </row>
    <row r="19">
      <c r="A19" s="6" t="s">
        <v>12</v>
      </c>
      <c r="B19" s="7">
        <v>40.0</v>
      </c>
      <c r="C19" s="8" t="s">
        <v>7</v>
      </c>
      <c r="D19" s="9"/>
    </row>
    <row r="20">
      <c r="A20" s="6" t="s">
        <v>26</v>
      </c>
      <c r="B20" s="7">
        <v>70.0</v>
      </c>
      <c r="C20" s="8" t="s">
        <v>7</v>
      </c>
      <c r="D20" s="9"/>
    </row>
    <row r="21">
      <c r="A21" s="6" t="s">
        <v>10</v>
      </c>
      <c r="B21" s="7">
        <v>40.0</v>
      </c>
      <c r="C21" s="8" t="s">
        <v>7</v>
      </c>
      <c r="D21" s="9"/>
    </row>
    <row r="22">
      <c r="A22" s="6" t="s">
        <v>8</v>
      </c>
      <c r="B22" s="7">
        <v>200.0</v>
      </c>
      <c r="C22" s="8" t="s">
        <v>7</v>
      </c>
      <c r="D22" s="9"/>
    </row>
    <row r="23">
      <c r="A23" s="13" t="s">
        <v>27</v>
      </c>
      <c r="B23" s="14">
        <v>200.0</v>
      </c>
      <c r="C23" s="15" t="s">
        <v>7</v>
      </c>
      <c r="D23" s="16"/>
    </row>
    <row r="24">
      <c r="A24" s="17"/>
      <c r="B24" s="18"/>
      <c r="C24" s="18"/>
    </row>
    <row r="25">
      <c r="A25" s="19"/>
      <c r="B25" s="20"/>
      <c r="C25" s="20"/>
    </row>
    <row r="26">
      <c r="A26" s="17"/>
      <c r="B26" s="18"/>
      <c r="C26" s="18"/>
    </row>
    <row r="27">
      <c r="A27" s="19"/>
      <c r="B27" s="20"/>
      <c r="C27" s="20"/>
    </row>
    <row r="28">
      <c r="A28" s="21"/>
      <c r="B28" s="22"/>
      <c r="C28" s="22"/>
    </row>
    <row r="29">
      <c r="A29" s="23" t="s">
        <v>28</v>
      </c>
      <c r="B29" s="24" t="s">
        <v>29</v>
      </c>
      <c r="C29" s="25" t="s">
        <v>30</v>
      </c>
    </row>
    <row r="30">
      <c r="A30" s="26">
        <f>sum(B2:B23)</f>
        <v>4650</v>
      </c>
      <c r="B30" s="27">
        <f>max(B2:D23)</f>
        <v>900</v>
      </c>
      <c r="C30" s="28">
        <f>min(B2:B23)</f>
        <v>10</v>
      </c>
    </row>
    <row r="34">
      <c r="A34" s="29" t="s">
        <v>31</v>
      </c>
      <c r="B34" s="30" t="s">
        <v>32</v>
      </c>
      <c r="C34" s="31" t="s">
        <v>33</v>
      </c>
    </row>
    <row r="35">
      <c r="A35" s="32">
        <f>COUNTIF(C2:C23, "Available")</f>
        <v>14</v>
      </c>
      <c r="B35" s="33">
        <f>COUNTIF(C2:C23, "out of stock")</f>
        <v>8</v>
      </c>
      <c r="C35" s="34">
        <f>AVERAGE(B2:B23)</f>
        <v>211.3636364</v>
      </c>
    </row>
    <row r="37">
      <c r="A37" s="35" t="s">
        <v>34</v>
      </c>
      <c r="B37" s="36" t="s">
        <v>35</v>
      </c>
      <c r="C37" s="37" t="s">
        <v>36</v>
      </c>
    </row>
    <row r="38">
      <c r="A38" s="38">
        <f>SUMIF(C2:C23, "out of stock", B2:B23)</f>
        <v>1210</v>
      </c>
      <c r="B38" s="38">
        <f>SUMIF(C2:C23, "Available", B2:B23)</f>
        <v>3440</v>
      </c>
      <c r="C38" s="38">
        <f>COUNTA(A2:A23)</f>
        <v>22</v>
      </c>
    </row>
    <row r="42">
      <c r="A42" s="39" t="s">
        <v>7</v>
      </c>
      <c r="B42" s="40"/>
      <c r="C42" s="40"/>
    </row>
    <row r="43">
      <c r="A43" s="40" t="str">
        <f>IFERROR(__xludf.DUMMYFUNCTION("FILTER(A2:C23,C2:C23 = ""out of stock"")"),"Pant")</f>
        <v>Pant</v>
      </c>
      <c r="B43" s="41">
        <f>IFERROR(__xludf.DUMMYFUNCTION("""COMPUTED_VALUE"""),400.0)</f>
        <v>400</v>
      </c>
      <c r="C43" s="40" t="str">
        <f>IFERROR(__xludf.DUMMYFUNCTION("""COMPUTED_VALUE"""),"out of stock")</f>
        <v>out of stock</v>
      </c>
    </row>
    <row r="44">
      <c r="A44" s="40" t="str">
        <f>IFERROR(__xludf.DUMMYFUNCTION("""COMPUTED_VALUE"""),"perfume")</f>
        <v>perfume</v>
      </c>
      <c r="B44" s="41">
        <f>IFERROR(__xludf.DUMMYFUNCTION("""COMPUTED_VALUE"""),200.0)</f>
        <v>200</v>
      </c>
      <c r="C44" s="40" t="str">
        <f>IFERROR(__xludf.DUMMYFUNCTION("""COMPUTED_VALUE"""),"out of stock")</f>
        <v>out of stock</v>
      </c>
    </row>
    <row r="45">
      <c r="A45" s="40" t="str">
        <f>IFERROR(__xludf.DUMMYFUNCTION("""COMPUTED_VALUE"""),"sampu")</f>
        <v>sampu</v>
      </c>
      <c r="B45" s="41">
        <f>IFERROR(__xludf.DUMMYFUNCTION("""COMPUTED_VALUE"""),60.0)</f>
        <v>60</v>
      </c>
      <c r="C45" s="40" t="str">
        <f>IFERROR(__xludf.DUMMYFUNCTION("""COMPUTED_VALUE"""),"out of stock")</f>
        <v>out of stock</v>
      </c>
    </row>
    <row r="46">
      <c r="A46" s="40" t="str">
        <f>IFERROR(__xludf.DUMMYFUNCTION("""COMPUTED_VALUE"""),"sabun")</f>
        <v>sabun</v>
      </c>
      <c r="B46" s="41">
        <f>IFERROR(__xludf.DUMMYFUNCTION("""COMPUTED_VALUE"""),40.0)</f>
        <v>40</v>
      </c>
      <c r="C46" s="40" t="str">
        <f>IFERROR(__xludf.DUMMYFUNCTION("""COMPUTED_VALUE"""),"out of stock")</f>
        <v>out of stock</v>
      </c>
    </row>
    <row r="47">
      <c r="A47" s="40" t="str">
        <f>IFERROR(__xludf.DUMMYFUNCTION("""COMPUTED_VALUE"""),"powder")</f>
        <v>powder</v>
      </c>
      <c r="B47" s="41">
        <f>IFERROR(__xludf.DUMMYFUNCTION("""COMPUTED_VALUE"""),70.0)</f>
        <v>70</v>
      </c>
      <c r="C47" s="40" t="str">
        <f>IFERROR(__xludf.DUMMYFUNCTION("""COMPUTED_VALUE"""),"out of stock")</f>
        <v>out of stock</v>
      </c>
    </row>
    <row r="48">
      <c r="A48" s="40" t="str">
        <f>IFERROR(__xludf.DUMMYFUNCTION("""COMPUTED_VALUE"""),"Mirror")</f>
        <v>Mirror</v>
      </c>
      <c r="B48" s="41">
        <f>IFERROR(__xludf.DUMMYFUNCTION("""COMPUTED_VALUE"""),40.0)</f>
        <v>40</v>
      </c>
      <c r="C48" s="40" t="str">
        <f>IFERROR(__xludf.DUMMYFUNCTION("""COMPUTED_VALUE"""),"out of stock")</f>
        <v>out of stock</v>
      </c>
    </row>
    <row r="49">
      <c r="A49" s="40" t="str">
        <f>IFERROR(__xludf.DUMMYFUNCTION("""COMPUTED_VALUE"""),"bra")</f>
        <v>bra</v>
      </c>
      <c r="B49" s="41">
        <f>IFERROR(__xludf.DUMMYFUNCTION("""COMPUTED_VALUE"""),200.0)</f>
        <v>200</v>
      </c>
      <c r="C49" s="40" t="str">
        <f>IFERROR(__xludf.DUMMYFUNCTION("""COMPUTED_VALUE"""),"out of stock")</f>
        <v>out of stock</v>
      </c>
    </row>
    <row r="50">
      <c r="A50" s="40" t="str">
        <f>IFERROR(__xludf.DUMMYFUNCTION("""COMPUTED_VALUE"""),"Penty")</f>
        <v>Penty</v>
      </c>
      <c r="B50" s="41">
        <f>IFERROR(__xludf.DUMMYFUNCTION("""COMPUTED_VALUE"""),200.0)</f>
        <v>200</v>
      </c>
      <c r="C50" s="40" t="str">
        <f>IFERROR(__xludf.DUMMYFUNCTION("""COMPUTED_VALUE"""),"out of stock")</f>
        <v>out of stock</v>
      </c>
    </row>
    <row r="52">
      <c r="A52" s="42" t="s">
        <v>31</v>
      </c>
      <c r="B52" s="43"/>
      <c r="C52" s="43"/>
    </row>
    <row r="53">
      <c r="A53" s="43" t="str">
        <f>IFERROR(__xludf.DUMMYFUNCTION("FILTER(A2:C23, C2:C23 = ""Available"")"),"T-shirt")</f>
        <v>T-shirt</v>
      </c>
      <c r="B53" s="44">
        <f>IFERROR(__xludf.DUMMYFUNCTION("""COMPUTED_VALUE"""),200.0)</f>
        <v>200</v>
      </c>
      <c r="C53" s="43" t="str">
        <f>IFERROR(__xludf.DUMMYFUNCTION("""COMPUTED_VALUE"""),"Available")</f>
        <v>Available</v>
      </c>
    </row>
    <row r="54">
      <c r="A54" s="43" t="str">
        <f>IFERROR(__xludf.DUMMYFUNCTION("""COMPUTED_VALUE"""),"lower")</f>
        <v>lower</v>
      </c>
      <c r="B54" s="44">
        <f>IFERROR(__xludf.DUMMYFUNCTION("""COMPUTED_VALUE"""),200.0)</f>
        <v>200</v>
      </c>
      <c r="C54" s="43" t="str">
        <f>IFERROR(__xludf.DUMMYFUNCTION("""COMPUTED_VALUE"""),"Available")</f>
        <v>Available</v>
      </c>
    </row>
    <row r="55">
      <c r="A55" s="43" t="str">
        <f>IFERROR(__xludf.DUMMYFUNCTION("""COMPUTED_VALUE"""),"half pant")</f>
        <v>half pant</v>
      </c>
      <c r="B55" s="44">
        <f>IFERROR(__xludf.DUMMYFUNCTION("""COMPUTED_VALUE"""),150.0)</f>
        <v>150</v>
      </c>
      <c r="C55" s="43" t="str">
        <f>IFERROR(__xludf.DUMMYFUNCTION("""COMPUTED_VALUE"""),"Available")</f>
        <v>Available</v>
      </c>
    </row>
    <row r="56">
      <c r="A56" s="43" t="str">
        <f>IFERROR(__xludf.DUMMYFUNCTION("""COMPUTED_VALUE"""),"underwear")</f>
        <v>underwear</v>
      </c>
      <c r="B56" s="44">
        <f>IFERROR(__xludf.DUMMYFUNCTION("""COMPUTED_VALUE"""),90.0)</f>
        <v>90</v>
      </c>
      <c r="C56" s="43" t="str">
        <f>IFERROR(__xludf.DUMMYFUNCTION("""COMPUTED_VALUE"""),"Available")</f>
        <v>Available</v>
      </c>
    </row>
    <row r="57">
      <c r="A57" s="43" t="str">
        <f>IFERROR(__xludf.DUMMYFUNCTION("""COMPUTED_VALUE"""),"shirt")</f>
        <v>shirt</v>
      </c>
      <c r="B57" s="44">
        <f>IFERROR(__xludf.DUMMYFUNCTION("""COMPUTED_VALUE"""),600.0)</f>
        <v>600</v>
      </c>
      <c r="C57" s="43" t="str">
        <f>IFERROR(__xludf.DUMMYFUNCTION("""COMPUTED_VALUE"""),"Available")</f>
        <v>Available</v>
      </c>
    </row>
    <row r="58">
      <c r="A58" s="43" t="str">
        <f>IFERROR(__xludf.DUMMYFUNCTION("""COMPUTED_VALUE"""),"cap")</f>
        <v>cap</v>
      </c>
      <c r="B58" s="44">
        <f>IFERROR(__xludf.DUMMYFUNCTION("""COMPUTED_VALUE"""),100.0)</f>
        <v>100</v>
      </c>
      <c r="C58" s="43" t="str">
        <f>IFERROR(__xludf.DUMMYFUNCTION("""COMPUTED_VALUE"""),"Available")</f>
        <v>Available</v>
      </c>
    </row>
    <row r="59">
      <c r="A59" s="43" t="str">
        <f>IFERROR(__xludf.DUMMYFUNCTION("""COMPUTED_VALUE"""),"jacket")</f>
        <v>jacket</v>
      </c>
      <c r="B59" s="44">
        <f>IFERROR(__xludf.DUMMYFUNCTION("""COMPUTED_VALUE"""),900.0)</f>
        <v>900</v>
      </c>
      <c r="C59" s="43" t="str">
        <f>IFERROR(__xludf.DUMMYFUNCTION("""COMPUTED_VALUE"""),"Available")</f>
        <v>Available</v>
      </c>
    </row>
    <row r="60">
      <c r="A60" s="43" t="str">
        <f>IFERROR(__xludf.DUMMYFUNCTION("""COMPUTED_VALUE"""),"Formal pant")</f>
        <v>Formal pant</v>
      </c>
      <c r="B60" s="44">
        <f>IFERROR(__xludf.DUMMYFUNCTION("""COMPUTED_VALUE"""),600.0)</f>
        <v>600</v>
      </c>
      <c r="C60" s="43" t="str">
        <f>IFERROR(__xludf.DUMMYFUNCTION("""COMPUTED_VALUE"""),"Available")</f>
        <v>Available</v>
      </c>
    </row>
    <row r="61">
      <c r="A61" s="43" t="str">
        <f>IFERROR(__xludf.DUMMYFUNCTION("""COMPUTED_VALUE"""),"shokes")</f>
        <v>shokes</v>
      </c>
      <c r="B61" s="44">
        <f>IFERROR(__xludf.DUMMYFUNCTION("""COMPUTED_VALUE"""),50.0)</f>
        <v>50</v>
      </c>
      <c r="C61" s="43" t="str">
        <f>IFERROR(__xludf.DUMMYFUNCTION("""COMPUTED_VALUE"""),"Available")</f>
        <v>Available</v>
      </c>
    </row>
    <row r="62">
      <c r="A62" s="43" t="str">
        <f>IFERROR(__xludf.DUMMYFUNCTION("""COMPUTED_VALUE"""),"Lipstick")</f>
        <v>Lipstick</v>
      </c>
      <c r="B62" s="44">
        <f>IFERROR(__xludf.DUMMYFUNCTION("""COMPUTED_VALUE"""),40.0)</f>
        <v>40</v>
      </c>
      <c r="C62" s="43" t="str">
        <f>IFERROR(__xludf.DUMMYFUNCTION("""COMPUTED_VALUE"""),"Available")</f>
        <v>Available</v>
      </c>
    </row>
    <row r="63">
      <c r="A63" s="43" t="str">
        <f>IFERROR(__xludf.DUMMYFUNCTION("""COMPUTED_VALUE"""),"nail palis")</f>
        <v>nail palis</v>
      </c>
      <c r="B63" s="44">
        <f>IFERROR(__xludf.DUMMYFUNCTION("""COMPUTED_VALUE"""),10.0)</f>
        <v>10</v>
      </c>
      <c r="C63" s="43" t="str">
        <f>IFERROR(__xludf.DUMMYFUNCTION("""COMPUTED_VALUE"""),"Available")</f>
        <v>Available</v>
      </c>
    </row>
    <row r="64">
      <c r="A64" s="43" t="str">
        <f>IFERROR(__xludf.DUMMYFUNCTION("""COMPUTED_VALUE"""),"cream")</f>
        <v>cream</v>
      </c>
      <c r="B64" s="44">
        <f>IFERROR(__xludf.DUMMYFUNCTION("""COMPUTED_VALUE"""),180.0)</f>
        <v>180</v>
      </c>
      <c r="C64" s="43" t="str">
        <f>IFERROR(__xludf.DUMMYFUNCTION("""COMPUTED_VALUE"""),"Available")</f>
        <v>Available</v>
      </c>
    </row>
    <row r="65">
      <c r="A65" s="43" t="str">
        <f>IFERROR(__xludf.DUMMYFUNCTION("""COMPUTED_VALUE"""),"facewash")</f>
        <v>facewash</v>
      </c>
      <c r="B65" s="44">
        <f>IFERROR(__xludf.DUMMYFUNCTION("""COMPUTED_VALUE"""),120.0)</f>
        <v>120</v>
      </c>
      <c r="C65" s="43" t="str">
        <f>IFERROR(__xludf.DUMMYFUNCTION("""COMPUTED_VALUE"""),"Available")</f>
        <v>Available</v>
      </c>
    </row>
    <row r="66">
      <c r="A66" s="43" t="str">
        <f>IFERROR(__xludf.DUMMYFUNCTION("""COMPUTED_VALUE"""),"oil")</f>
        <v>oil</v>
      </c>
      <c r="B66" s="44">
        <f>IFERROR(__xludf.DUMMYFUNCTION("""COMPUTED_VALUE"""),200.0)</f>
        <v>200</v>
      </c>
      <c r="C66" s="43" t="str">
        <f>IFERROR(__xludf.DUMMYFUNCTION("""COMPUTED_VALUE"""),"Available")</f>
        <v>Available</v>
      </c>
    </row>
    <row r="68">
      <c r="A68" s="45" t="s">
        <v>37</v>
      </c>
      <c r="B68" s="46"/>
      <c r="C68" s="46"/>
      <c r="D68" s="47" t="s">
        <v>38</v>
      </c>
      <c r="E68" s="48"/>
      <c r="F68" s="49"/>
    </row>
    <row r="69">
      <c r="A69" s="50" t="str">
        <f t="array" ref="A69:C90">sort(A2:C23, 2,true)</f>
        <v>nail palis</v>
      </c>
      <c r="B69" s="51">
        <v>10.0</v>
      </c>
      <c r="C69" s="50" t="s">
        <v>4</v>
      </c>
      <c r="D69" s="52" t="str">
        <f t="array" ref="D69:F90">SORT(A2:C23, 2,false)</f>
        <v>jacket</v>
      </c>
      <c r="E69" s="53">
        <v>900.0</v>
      </c>
      <c r="F69" s="54" t="s">
        <v>4</v>
      </c>
    </row>
    <row r="70">
      <c r="A70" s="50" t="s">
        <v>21</v>
      </c>
      <c r="B70" s="51">
        <v>40.0</v>
      </c>
      <c r="C70" s="50" t="s">
        <v>4</v>
      </c>
      <c r="D70" s="52" t="s">
        <v>15</v>
      </c>
      <c r="E70" s="53">
        <v>600.0</v>
      </c>
      <c r="F70" s="54" t="s">
        <v>4</v>
      </c>
    </row>
    <row r="71">
      <c r="A71" s="50" t="s">
        <v>12</v>
      </c>
      <c r="B71" s="51">
        <v>40.0</v>
      </c>
      <c r="C71" s="50" t="s">
        <v>7</v>
      </c>
      <c r="D71" s="52" t="s">
        <v>19</v>
      </c>
      <c r="E71" s="53">
        <v>600.0</v>
      </c>
      <c r="F71" s="54" t="s">
        <v>4</v>
      </c>
    </row>
    <row r="72">
      <c r="A72" s="50" t="s">
        <v>10</v>
      </c>
      <c r="B72" s="51">
        <v>40.0</v>
      </c>
      <c r="C72" s="50" t="s">
        <v>7</v>
      </c>
      <c r="D72" s="52" t="s">
        <v>6</v>
      </c>
      <c r="E72" s="53">
        <v>400.0</v>
      </c>
      <c r="F72" s="54" t="s">
        <v>7</v>
      </c>
    </row>
    <row r="73">
      <c r="A73" s="50" t="s">
        <v>20</v>
      </c>
      <c r="B73" s="51">
        <v>50.0</v>
      </c>
      <c r="C73" s="50" t="s">
        <v>4</v>
      </c>
      <c r="D73" s="52" t="s">
        <v>3</v>
      </c>
      <c r="E73" s="53">
        <v>200.0</v>
      </c>
      <c r="F73" s="54" t="s">
        <v>4</v>
      </c>
    </row>
    <row r="74">
      <c r="A74" s="50" t="s">
        <v>25</v>
      </c>
      <c r="B74" s="51">
        <v>60.0</v>
      </c>
      <c r="C74" s="50" t="s">
        <v>7</v>
      </c>
      <c r="D74" s="52" t="s">
        <v>9</v>
      </c>
      <c r="E74" s="53">
        <v>200.0</v>
      </c>
      <c r="F74" s="54" t="s">
        <v>4</v>
      </c>
    </row>
    <row r="75">
      <c r="A75" s="50" t="s">
        <v>26</v>
      </c>
      <c r="B75" s="51">
        <v>70.0</v>
      </c>
      <c r="C75" s="50" t="s">
        <v>7</v>
      </c>
      <c r="D75" s="52" t="s">
        <v>5</v>
      </c>
      <c r="E75" s="53">
        <v>200.0</v>
      </c>
      <c r="F75" s="54" t="s">
        <v>4</v>
      </c>
    </row>
    <row r="76">
      <c r="A76" s="50" t="s">
        <v>13</v>
      </c>
      <c r="B76" s="51">
        <v>90.0</v>
      </c>
      <c r="C76" s="50" t="s">
        <v>4</v>
      </c>
      <c r="D76" s="52" t="s">
        <v>24</v>
      </c>
      <c r="E76" s="53">
        <v>200.0</v>
      </c>
      <c r="F76" s="54" t="s">
        <v>7</v>
      </c>
    </row>
    <row r="77">
      <c r="A77" s="50" t="s">
        <v>16</v>
      </c>
      <c r="B77" s="51">
        <v>100.0</v>
      </c>
      <c r="C77" s="50" t="s">
        <v>4</v>
      </c>
      <c r="D77" s="52" t="s">
        <v>8</v>
      </c>
      <c r="E77" s="53">
        <v>200.0</v>
      </c>
      <c r="F77" s="54" t="s">
        <v>7</v>
      </c>
    </row>
    <row r="78">
      <c r="A78" s="50" t="s">
        <v>23</v>
      </c>
      <c r="B78" s="51">
        <v>120.0</v>
      </c>
      <c r="C78" s="50" t="s">
        <v>4</v>
      </c>
      <c r="D78" s="52" t="s">
        <v>27</v>
      </c>
      <c r="E78" s="53">
        <v>200.0</v>
      </c>
      <c r="F78" s="54" t="s">
        <v>7</v>
      </c>
    </row>
    <row r="79">
      <c r="A79" s="50" t="s">
        <v>11</v>
      </c>
      <c r="B79" s="51">
        <v>150.0</v>
      </c>
      <c r="C79" s="50" t="s">
        <v>4</v>
      </c>
      <c r="D79" s="52" t="s">
        <v>22</v>
      </c>
      <c r="E79" s="53">
        <v>180.0</v>
      </c>
      <c r="F79" s="54" t="s">
        <v>4</v>
      </c>
    </row>
    <row r="80">
      <c r="A80" s="50" t="s">
        <v>22</v>
      </c>
      <c r="B80" s="51">
        <v>180.0</v>
      </c>
      <c r="C80" s="50" t="s">
        <v>4</v>
      </c>
      <c r="D80" s="52" t="s">
        <v>11</v>
      </c>
      <c r="E80" s="53">
        <v>150.0</v>
      </c>
      <c r="F80" s="54" t="s">
        <v>4</v>
      </c>
    </row>
    <row r="81">
      <c r="A81" s="50" t="s">
        <v>3</v>
      </c>
      <c r="B81" s="51">
        <v>200.0</v>
      </c>
      <c r="C81" s="50" t="s">
        <v>4</v>
      </c>
      <c r="D81" s="52" t="s">
        <v>23</v>
      </c>
      <c r="E81" s="53">
        <v>120.0</v>
      </c>
      <c r="F81" s="54" t="s">
        <v>4</v>
      </c>
    </row>
    <row r="82">
      <c r="A82" s="50" t="s">
        <v>9</v>
      </c>
      <c r="B82" s="51">
        <v>200.0</v>
      </c>
      <c r="C82" s="50" t="s">
        <v>4</v>
      </c>
      <c r="D82" s="52" t="s">
        <v>16</v>
      </c>
      <c r="E82" s="53">
        <v>100.0</v>
      </c>
      <c r="F82" s="54" t="s">
        <v>4</v>
      </c>
    </row>
    <row r="83">
      <c r="A83" s="50" t="s">
        <v>5</v>
      </c>
      <c r="B83" s="51">
        <v>200.0</v>
      </c>
      <c r="C83" s="50" t="s">
        <v>4</v>
      </c>
      <c r="D83" s="52" t="s">
        <v>13</v>
      </c>
      <c r="E83" s="53">
        <v>90.0</v>
      </c>
      <c r="F83" s="54" t="s">
        <v>4</v>
      </c>
    </row>
    <row r="84">
      <c r="A84" s="50" t="s">
        <v>24</v>
      </c>
      <c r="B84" s="51">
        <v>200.0</v>
      </c>
      <c r="C84" s="50" t="s">
        <v>7</v>
      </c>
      <c r="D84" s="52" t="s">
        <v>26</v>
      </c>
      <c r="E84" s="53">
        <v>70.0</v>
      </c>
      <c r="F84" s="54" t="s">
        <v>7</v>
      </c>
    </row>
    <row r="85">
      <c r="A85" s="50" t="s">
        <v>8</v>
      </c>
      <c r="B85" s="51">
        <v>200.0</v>
      </c>
      <c r="C85" s="50" t="s">
        <v>7</v>
      </c>
      <c r="D85" s="52" t="s">
        <v>25</v>
      </c>
      <c r="E85" s="53">
        <v>60.0</v>
      </c>
      <c r="F85" s="54" t="s">
        <v>7</v>
      </c>
    </row>
    <row r="86">
      <c r="A86" s="50" t="s">
        <v>27</v>
      </c>
      <c r="B86" s="51">
        <v>200.0</v>
      </c>
      <c r="C86" s="50" t="s">
        <v>7</v>
      </c>
      <c r="D86" s="52" t="s">
        <v>20</v>
      </c>
      <c r="E86" s="53">
        <v>50.0</v>
      </c>
      <c r="F86" s="54" t="s">
        <v>4</v>
      </c>
    </row>
    <row r="87">
      <c r="A87" s="50" t="s">
        <v>6</v>
      </c>
      <c r="B87" s="51">
        <v>400.0</v>
      </c>
      <c r="C87" s="50" t="s">
        <v>7</v>
      </c>
      <c r="D87" s="52" t="s">
        <v>21</v>
      </c>
      <c r="E87" s="53">
        <v>40.0</v>
      </c>
      <c r="F87" s="54" t="s">
        <v>4</v>
      </c>
    </row>
    <row r="88">
      <c r="A88" s="50" t="s">
        <v>15</v>
      </c>
      <c r="B88" s="51">
        <v>600.0</v>
      </c>
      <c r="C88" s="50" t="s">
        <v>4</v>
      </c>
      <c r="D88" s="52" t="s">
        <v>12</v>
      </c>
      <c r="E88" s="53">
        <v>40.0</v>
      </c>
      <c r="F88" s="54" t="s">
        <v>7</v>
      </c>
    </row>
    <row r="89">
      <c r="A89" s="50" t="s">
        <v>19</v>
      </c>
      <c r="B89" s="51">
        <v>600.0</v>
      </c>
      <c r="C89" s="50" t="s">
        <v>4</v>
      </c>
      <c r="D89" s="52" t="s">
        <v>10</v>
      </c>
      <c r="E89" s="53">
        <v>40.0</v>
      </c>
      <c r="F89" s="54" t="s">
        <v>7</v>
      </c>
    </row>
    <row r="90">
      <c r="A90" s="55" t="s">
        <v>18</v>
      </c>
      <c r="B90" s="56">
        <v>900.0</v>
      </c>
      <c r="C90" s="55" t="s">
        <v>4</v>
      </c>
      <c r="D90" s="52" t="s">
        <v>14</v>
      </c>
      <c r="E90" s="53">
        <v>10.0</v>
      </c>
      <c r="F90" s="54" t="s">
        <v>4</v>
      </c>
    </row>
  </sheetData>
  <autoFilter ref="$A$2:$C$24"/>
  <dataValidations>
    <dataValidation type="custom" allowBlank="1" showDropDown="1" sqref="A1:C23">
      <formula1>NOT(ISERROR(SEARCH(("bra"),(A1))))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rawing r:id="rId2"/>
</worksheet>
</file>